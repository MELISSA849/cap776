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0" documentId="8_{95E4EFA4-B3E4-4C32-9122-0826CD430260}" xr6:coauthVersionLast="47" xr6:coauthVersionMax="47" xr10:uidLastSave="{00000000-0000-0000-0000-000000000000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0" i="2" l="1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<sst xmlns="http://schemas.openxmlformats.org/spreadsheetml/2006/main" count="97" uniqueCount="71">
  <si>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</si>
  <si>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</si>
  <si>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</si>
  <si>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</si>
  <si>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</si>
  <si>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</si>
  <si>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</si>
  <si>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</si>
  <si>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</si>
  <si>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</si>
  <si>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</si>
  <si>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</si>
  <si>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</si>
  <si>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</si>
  <si>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</si>
  <si>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</si>
  <si>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</si>
  <si>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</si>
  <si>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</si>
  <si>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</si>
  <si>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</si>
  <si>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</si>
  <si>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</si>
  <si>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</si>
  <si>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</si>
  <si>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</si>
  <si>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</si>
  <si>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</si>
  <si>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</si>
  <si>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</si>
  <si>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</si>
  <si>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</si>
  <si>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G.Rajeshwari</t>
  </si>
  <si>
    <t>Registration No.:</t>
  </si>
  <si>
    <t>Course / Section:</t>
  </si>
  <si>
    <t>MCA</t>
  </si>
  <si>
    <t>Month:</t>
  </si>
  <si>
    <t>SEPTEMPBER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</si>
  <si>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</si>
  <si>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</si>
  <si>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</si>
  <si>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</si>
  <si>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</si>
  <si>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</si>
  <si>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</si>
  <si>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</si>
  <si>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</si>
  <si>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</si>
  <si>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</si>
  <si>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</si>
  <si>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</si>
  <si>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</si>
  <si>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</si>
  <si>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Stressed</t>
  </si>
  <si>
    <t>Neutral</t>
  </si>
  <si>
    <t>Medium</t>
  </si>
  <si>
    <t>TOO MUCH CLASSES</t>
  </si>
  <si>
    <t>Low</t>
  </si>
  <si>
    <t>TIRED</t>
  </si>
  <si>
    <t>TIRED TOO MUCH</t>
  </si>
  <si>
    <t>Satisfied</t>
  </si>
  <si>
    <t>NETURAL</t>
  </si>
  <si>
    <t>Good</t>
  </si>
  <si>
    <t>BACK PAIN</t>
  </si>
  <si>
    <t>Very Unsatisfied</t>
  </si>
  <si>
    <t>EXHAUSTED</t>
  </si>
  <si>
    <t>Unsatisfied</t>
  </si>
  <si>
    <t>HEADACHE</t>
  </si>
  <si>
    <t>good</t>
  </si>
  <si>
    <t>neutral</t>
  </si>
  <si>
    <t>good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</si>
</sst>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bottomRight" activeCell="H16" sqref="H16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12625637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15">
      <c r="A6" s="8">
        <v>46280</v>
      </c>
      <c r="B6" s="9">
        <v>360</v>
      </c>
      <c r="C6" s="9">
        <v>10</v>
      </c>
      <c r="D6" s="9">
        <v>240</v>
      </c>
      <c r="E6" s="9">
        <v>60</v>
      </c>
      <c r="F6" s="9">
        <v>300</v>
      </c>
      <c r="G6" s="9">
        <v>6</v>
      </c>
      <c r="H6" s="9">
        <v>90</v>
      </c>
      <c r="I6" s="10">
        <f t="shared" ref="I6:I68" si="0">IF(SUM(B6:F6,H6)=0,"",SUM(B6:F6,H6))</f>
        <v>1060</v>
      </c>
      <c r="J6" s="10">
        <f t="shared" ref="J6:J68" si="1">IF(I6="","",1440-I6)</f>
        <v>380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15">
      <c r="A7" s="8">
        <v>46281</v>
      </c>
      <c r="B7" s="14">
        <v>320</v>
      </c>
      <c r="C7" s="14">
        <v>0</v>
      </c>
      <c r="D7" s="14">
        <v>280</v>
      </c>
      <c r="E7" s="14">
        <v>60</v>
      </c>
      <c r="F7" s="14">
        <v>300</v>
      </c>
      <c r="G7" s="14">
        <v>6</v>
      </c>
      <c r="H7" s="14">
        <v>120</v>
      </c>
      <c r="I7" s="15">
        <f t="shared" si="0"/>
        <v>1080</v>
      </c>
      <c r="J7" s="15">
        <f t="shared" si="1"/>
        <v>360</v>
      </c>
      <c r="K7" s="16" t="s">
        <v>54</v>
      </c>
      <c r="L7" s="16" t="s">
        <v>54</v>
      </c>
      <c r="M7" s="16" t="s">
        <v>57</v>
      </c>
      <c r="N7" s="17" t="s">
        <v>58</v>
      </c>
    </row>
    <row r="8" spans="1:14" ht="15">
      <c r="A8" s="8">
        <v>46282</v>
      </c>
      <c r="B8" s="14">
        <v>360</v>
      </c>
      <c r="C8" s="14">
        <v>5</v>
      </c>
      <c r="D8" s="14">
        <v>300</v>
      </c>
      <c r="E8" s="14">
        <v>60</v>
      </c>
      <c r="F8" s="14">
        <v>300</v>
      </c>
      <c r="G8" s="14">
        <v>6</v>
      </c>
      <c r="H8" s="14">
        <v>100</v>
      </c>
      <c r="I8" s="15">
        <f t="shared" si="0"/>
        <v>1125</v>
      </c>
      <c r="J8" s="15">
        <f t="shared" si="1"/>
        <v>315</v>
      </c>
      <c r="K8" s="16" t="s">
        <v>54</v>
      </c>
      <c r="L8" s="16" t="s">
        <v>54</v>
      </c>
      <c r="M8" s="16" t="s">
        <v>57</v>
      </c>
      <c r="N8" s="17" t="s">
        <v>59</v>
      </c>
    </row>
    <row r="9" spans="1:14" ht="15">
      <c r="A9" s="8">
        <v>46283</v>
      </c>
      <c r="B9" s="14">
        <v>360</v>
      </c>
      <c r="C9" s="14">
        <v>10</v>
      </c>
      <c r="D9" s="14">
        <v>300</v>
      </c>
      <c r="E9" s="14">
        <v>60</v>
      </c>
      <c r="F9" s="14">
        <v>150</v>
      </c>
      <c r="G9" s="14">
        <v>3</v>
      </c>
      <c r="H9" s="14">
        <v>80</v>
      </c>
      <c r="I9" s="15">
        <f t="shared" si="0"/>
        <v>960</v>
      </c>
      <c r="J9" s="15">
        <f t="shared" si="1"/>
        <v>480</v>
      </c>
      <c r="K9" s="16" t="s">
        <v>54</v>
      </c>
      <c r="L9" s="16" t="s">
        <v>60</v>
      </c>
      <c r="M9" s="16" t="s">
        <v>57</v>
      </c>
      <c r="N9" s="17" t="s">
        <v>61</v>
      </c>
    </row>
    <row r="10" spans="1:14" ht="15">
      <c r="A10" s="8">
        <v>46284</v>
      </c>
      <c r="B10" s="14">
        <v>300</v>
      </c>
      <c r="C10" s="14">
        <v>15</v>
      </c>
      <c r="D10" s="14">
        <v>420</v>
      </c>
      <c r="E10" s="14">
        <v>50</v>
      </c>
      <c r="F10" s="14">
        <v>0</v>
      </c>
      <c r="G10" s="14">
        <v>0</v>
      </c>
      <c r="H10" s="14">
        <v>50</v>
      </c>
      <c r="I10" s="15">
        <f t="shared" si="0"/>
        <v>835</v>
      </c>
      <c r="J10" s="15">
        <f t="shared" si="1"/>
        <v>605</v>
      </c>
      <c r="K10" s="16" t="s">
        <v>62</v>
      </c>
      <c r="L10" s="16" t="s">
        <v>54</v>
      </c>
      <c r="M10" s="16" t="s">
        <v>55</v>
      </c>
      <c r="N10" s="17" t="s">
        <v>63</v>
      </c>
    </row>
    <row r="11" spans="1:14" ht="15">
      <c r="A11" s="8">
        <v>46285</v>
      </c>
      <c r="B11" s="14">
        <v>400</v>
      </c>
      <c r="C11" s="14">
        <v>20</v>
      </c>
      <c r="D11" s="14">
        <v>350</v>
      </c>
      <c r="E11" s="14">
        <v>80</v>
      </c>
      <c r="F11" s="14">
        <v>0</v>
      </c>
      <c r="G11" s="14">
        <v>0</v>
      </c>
      <c r="H11" s="14">
        <v>90</v>
      </c>
      <c r="I11" s="15">
        <f t="shared" si="0"/>
        <v>940</v>
      </c>
      <c r="J11" s="15">
        <f t="shared" si="1"/>
        <v>500</v>
      </c>
      <c r="K11" s="16" t="s">
        <v>62</v>
      </c>
      <c r="L11" s="16" t="s">
        <v>64</v>
      </c>
      <c r="M11" s="16" t="s">
        <v>55</v>
      </c>
      <c r="N11" s="17" t="s">
        <v>65</v>
      </c>
    </row>
    <row r="12" spans="1:14" ht="15">
      <c r="A12" s="8">
        <v>46286</v>
      </c>
      <c r="B12" s="14">
        <v>300</v>
      </c>
      <c r="C12" s="14">
        <v>0</v>
      </c>
      <c r="D12" s="14">
        <v>240</v>
      </c>
      <c r="E12" s="14">
        <v>20</v>
      </c>
      <c r="F12" s="14">
        <v>250</v>
      </c>
      <c r="G12" s="14">
        <v>4</v>
      </c>
      <c r="H12" s="14">
        <v>130</v>
      </c>
      <c r="I12" s="15">
        <f t="shared" si="0"/>
        <v>940</v>
      </c>
      <c r="J12" s="15">
        <f t="shared" si="1"/>
        <v>500</v>
      </c>
      <c r="K12" s="16" t="s">
        <v>57</v>
      </c>
      <c r="L12" s="16" t="s">
        <v>66</v>
      </c>
      <c r="M12" s="16" t="s">
        <v>57</v>
      </c>
      <c r="N12" s="17" t="s">
        <v>67</v>
      </c>
    </row>
    <row r="13" spans="1:14" ht="15">
      <c r="A13" s="13">
        <v>46287</v>
      </c>
      <c r="B13" s="14">
        <v>200</v>
      </c>
      <c r="C13" s="14">
        <v>30</v>
      </c>
      <c r="D13" s="14">
        <v>250</v>
      </c>
      <c r="E13" s="14">
        <v>10</v>
      </c>
      <c r="F13" s="14">
        <v>250</v>
      </c>
      <c r="G13" s="14">
        <v>6</v>
      </c>
      <c r="H13" s="14">
        <v>90</v>
      </c>
      <c r="I13" s="15">
        <f t="shared" si="0"/>
        <v>830</v>
      </c>
      <c r="J13" s="15">
        <f t="shared" si="1"/>
        <v>610</v>
      </c>
      <c r="K13" s="16" t="s">
        <v>62</v>
      </c>
      <c r="L13" s="16" t="s">
        <v>54</v>
      </c>
      <c r="M13" s="16" t="s">
        <v>55</v>
      </c>
      <c r="N13" s="17" t="s">
        <v>68</v>
      </c>
    </row>
    <row r="14" spans="1:14" ht="15">
      <c r="A14" s="8">
        <v>46288</v>
      </c>
      <c r="B14" s="14">
        <v>257.142857142857</v>
      </c>
      <c r="C14" s="14">
        <v>22.5</v>
      </c>
      <c r="D14" s="14">
        <v>180</v>
      </c>
      <c r="E14" s="14">
        <v>33</v>
      </c>
      <c r="F14" s="14">
        <v>416.66666666666703</v>
      </c>
      <c r="G14" s="14">
        <v>8</v>
      </c>
      <c r="H14" s="14">
        <v>50</v>
      </c>
      <c r="I14" s="15">
        <f t="shared" si="0"/>
        <v>959.30952380952408</v>
      </c>
      <c r="J14" s="15">
        <f t="shared" si="1"/>
        <v>480.69047619047592</v>
      </c>
      <c r="K14" s="16" t="s">
        <v>62</v>
      </c>
      <c r="L14" s="16" t="s">
        <v>54</v>
      </c>
      <c r="M14" s="16" t="s">
        <v>55</v>
      </c>
      <c r="N14" s="17" t="s">
        <v>63</v>
      </c>
    </row>
    <row r="15" spans="1:14" ht="15">
      <c r="A15" s="8">
        <v>46289</v>
      </c>
      <c r="B15" s="14">
        <v>241.42857142857099</v>
      </c>
      <c r="C15" s="14">
        <v>25</v>
      </c>
      <c r="D15" s="14">
        <v>130</v>
      </c>
      <c r="E15" s="14">
        <v>68</v>
      </c>
      <c r="F15" s="14">
        <v>541.66666666666697</v>
      </c>
      <c r="G15" s="14">
        <v>10</v>
      </c>
      <c r="H15" s="14">
        <v>10</v>
      </c>
      <c r="I15" s="15">
        <f t="shared" si="0"/>
        <v>1016.095238095238</v>
      </c>
      <c r="J15" s="15">
        <f t="shared" si="1"/>
        <v>423.90476190476204</v>
      </c>
      <c r="K15" s="16" t="s">
        <v>62</v>
      </c>
      <c r="L15" s="16" t="s">
        <v>64</v>
      </c>
      <c r="M15" s="16" t="s">
        <v>55</v>
      </c>
      <c r="N15" s="17" t="s">
        <v>69</v>
      </c>
    </row>
    <row r="16" spans="1:14" ht="15">
      <c r="A16" s="8">
        <v>46290</v>
      </c>
      <c r="B16" s="14">
        <v>225.71428571428601</v>
      </c>
      <c r="C16" s="14">
        <v>27.5</v>
      </c>
      <c r="D16" s="14">
        <v>80</v>
      </c>
      <c r="E16" s="14">
        <v>103</v>
      </c>
      <c r="F16" s="14">
        <v>666.66666666666697</v>
      </c>
      <c r="G16" s="14">
        <v>12</v>
      </c>
      <c r="H16" s="14">
        <v>30</v>
      </c>
      <c r="I16" s="15">
        <f t="shared" si="0"/>
        <v>1132.880952380953</v>
      </c>
      <c r="J16" s="15">
        <f t="shared" si="1"/>
        <v>307.11904761904702</v>
      </c>
      <c r="K16" s="16" t="s">
        <v>57</v>
      </c>
      <c r="L16" s="16" t="s">
        <v>66</v>
      </c>
      <c r="M16" s="16" t="s">
        <v>57</v>
      </c>
      <c r="N16" s="17" t="s">
        <v>70</v>
      </c>
    </row>
    <row r="17" spans="1:14" ht="15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ref="I69:I132" si="2">IF(SUM(B69:F69,H69)=0,"",SUM(B69:F69,H69))</f>
        <v/>
      </c>
      <c r="J69" s="15" t="str">
        <f t="shared" ref="J69:J132" si="3">IF(I69="","",1440-I69)</f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ref="I133:I196" si="4">IF(SUM(B133:F133,H133)=0,"",SUM(B133:F133,H133))</f>
        <v/>
      </c>
      <c r="J133" s="15" t="str">
        <f t="shared" ref="J133:J196" si="5">IF(I133="","",1440-I133)</f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ref="I197:I260" si="6">IF(SUM(B197:F197,H197)=0,"",SUM(B197:F197,H197))</f>
        <v/>
      </c>
      <c r="J197" s="15" t="str">
        <f t="shared" ref="J197:J260" si="7">IF(I197="","",1440-I197)</f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ref="I261:I324" si="8">IF(SUM(B261:F261,H261)=0,"",SUM(B261:F261,H261))</f>
        <v/>
      </c>
      <c r="J261" s="15" t="str">
        <f t="shared" ref="J261:J324" si="9">IF(I261="","",1440-I261)</f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ref="I325:I388" si="10">IF(SUM(B325:F325,H325)=0,"",SUM(B325:F325,H325))</f>
        <v/>
      </c>
      <c r="J325" s="15" t="str">
        <f t="shared" ref="J325:J388" si="11">IF(I325="","",1440-I325)</f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ref="I389:I452" si="12">IF(SUM(B389:F389,H389)=0,"",SUM(B389:F389,H389))</f>
        <v/>
      </c>
      <c r="J389" s="15" t="str">
        <f t="shared" ref="J389:J452" si="13">IF(I389="","",1440-I389)</f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ht="15"/>
  </sheetData>
  <mergeCells count="6">
    <mergeCell ref="A4:N4"/>
    <mergeCell ref="A1:N1"/>
    <mergeCell ref="B2:D2"/>
    <mergeCell ref="F2:G2"/>
    <mergeCell ref="B3:D3"/>
    <mergeCell ref="F3:G3"/>
  </mergeCells>
  <conditionalFormatting sqref="J6:J400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0" xr:uid="{00000000-0002-0000-0100-000000000000}">
      <formula1>"Excellent,Good,Neutral,Low,Stressed"</formula1>
      <formula2>0</formula2>
    </dataValidation>
    <dataValidation type="list" allowBlank="1" prompt="Select today's satisfaction level" sqref="L6:L400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0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2026-07-24T11:49:30Z</dcterms:created>
  <dcterms:modified xsi:type="dcterms:W3CDTF">2026-09-26T17:11:00Z</dcterms:modified>
  <cp:category/>
  <cp:contentStatus/>
</cp:coreProperties>
</file>